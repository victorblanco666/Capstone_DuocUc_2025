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OneDrive\Escritorio\Capstone\Capstone_DuocUc_2025\Fase 3\DOCUMENTOS FASE3\"/>
    </mc:Choice>
  </mc:AlternateContent>
  <xr:revisionPtr revIDLastSave="0" documentId="13_ncr:1_{FEEEED86-21FF-4E2C-B639-5E516B096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24" i="1"/>
  <c r="B27" i="1"/>
  <c r="B28" i="1"/>
  <c r="B29" i="1"/>
  <c r="B30" i="1"/>
  <c r="B31" i="1"/>
  <c r="B32" i="1"/>
  <c r="B26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B13" i="1"/>
  <c r="E33" i="1" l="1"/>
  <c r="K33" i="1"/>
  <c r="G33" i="1"/>
  <c r="I33" i="1"/>
  <c r="C33" i="1" l="1"/>
  <c r="C34" i="1" s="1"/>
  <c r="D4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4" i="1" l="1"/>
</calcChain>
</file>

<file path=xl/sharedStrings.xml><?xml version="1.0" encoding="utf-8"?>
<sst xmlns="http://schemas.openxmlformats.org/spreadsheetml/2006/main" count="94" uniqueCount="62">
  <si>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</si>
  <si>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</si>
  <si>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</si>
  <si>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</si>
  <si>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</si>
  <si>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</si>
  <si>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</si>
  <si>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</si>
  <si>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</si>
  <si>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</si>
  <si>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</si>
  <si>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</si>
  <si>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</si>
  <si>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</si>
  <si>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</si>
  <si>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</si>
  <si>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</si>
  <si>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</si>
  <si>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</si>
  <si>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</si>
  <si>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</si>
  <si>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</si>
  <si>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</si>
  <si>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</si>
  <si>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</si>
  <si>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</si>
  <si>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</si>
  <si>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</si>
  <si>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</si>
  <si>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</si>
  <si>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</si>
  <si>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</si>
  <si>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</si>
  <si>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</si>
  <si>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</si>
  <si>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</si>
  <si>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</si>
  <si>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</si>
  <si>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</si>
  <si>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</si>
  <si>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</si>
  <si>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</si>
  <si>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</si>
  <si>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</si>
  <si>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</si>
  <si>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Nota docente asignatura</t>
  </si>
  <si>
    <t>Nota final</t>
  </si>
  <si>
    <t>Nota comision</t>
  </si>
  <si>
    <t>DOCENTE</t>
  </si>
  <si>
    <t xml:space="preserve">Presenta el proyecto mencionando la relevancia, objetivos, metodología y desarrollo de este y
todos los aspectos presentados cumplen con los estándares de calidad de la disciplina.  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</si>
  <si>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</si>
  <si>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</si>
  <si>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</si>
  <si>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</si>
  <si>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</si>
  <si>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6. Entrega la documentación y evidencias requerida por la asignatura de acuerdo a la estructura y nombres solicitados, guardando todas las evidencias de avances en Git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</si>
  <si>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</si>
  <si>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</si>
  <si>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</si>
  <si>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</si>
  <si>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COMISION 1</t>
  </si>
  <si>
    <t>Victor Alejandro Gamboa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</si>
</sst>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0" zoomScale="90" zoomScaleNormal="90" workbookViewId="0">
      <selection activeCell="K7" sqref="K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30">
        <v>0.7</v>
      </c>
      <c r="D2" s="33">
        <v>0.3</v>
      </c>
      <c r="E2" s="34">
        <v>1</v>
      </c>
    </row>
    <row r="3" spans="1:11" ht="14.4" x14ac:dyDescent="0.3">
      <c r="B3" s="2" t="s">
        <v>2</v>
      </c>
      <c r="C3" s="31" t="s">
        <v>45</v>
      </c>
      <c r="D3" s="35" t="s">
        <v>47</v>
      </c>
      <c r="E3" s="36" t="s">
        <v>46</v>
      </c>
    </row>
    <row r="4" spans="1:11" ht="14.4" x14ac:dyDescent="0.3">
      <c r="A4" s="3">
        <v>1</v>
      </c>
      <c r="B4" s="17" t="s">
        <v>61</v>
      </c>
      <c r="C4" s="32">
        <f>C21</f>
        <v>7</v>
      </c>
      <c r="D4" s="38">
        <f>C34</f>
        <v>7</v>
      </c>
      <c r="E4" s="37">
        <f>C4*C$2+D4*D$2</f>
        <v>7</v>
      </c>
    </row>
    <row r="5" spans="1:11" ht="14.4" x14ac:dyDescent="0.3"/>
    <row r="6" spans="1:11" ht="14.4" x14ac:dyDescent="0.3"/>
    <row r="11" spans="1:11" ht="18" outlineLevel="1" x14ac:dyDescent="0.3">
      <c r="A11" s="48" t="s">
        <v>48</v>
      </c>
      <c r="B11" s="12" t="str">
        <f>B4</f>
        <v>Victor Alejandro Gamboa Blanco</v>
      </c>
      <c r="C11" s="43" t="s">
        <v>9</v>
      </c>
      <c r="D11" s="44" t="s">
        <v>10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6" t="s">
        <v>11</v>
      </c>
      <c r="C12" s="42"/>
      <c r="D12" s="44" t="s">
        <v>5</v>
      </c>
      <c r="E12" s="46"/>
      <c r="F12" s="44" t="s">
        <v>6</v>
      </c>
      <c r="G12" s="46"/>
      <c r="H12" s="47" t="s">
        <v>17</v>
      </c>
      <c r="I12" s="46"/>
      <c r="J12" s="44" t="s">
        <v>7</v>
      </c>
      <c r="K12" s="46"/>
    </row>
    <row r="13" spans="1:11" ht="24" outlineLevel="1" x14ac:dyDescent="0.3">
      <c r="A13" s="41"/>
      <c r="B13" s="20" t="str">
        <f>RUBRICA!A4</f>
        <v xml:space="preserve">1. Presenta el proyecto considerando la relevancia, objetivos, metodología y desarrollo, de acuerdo a los estándares de calidad de la disciplina. </v>
      </c>
      <c r="C13" s="18" t="s">
        <v>5</v>
      </c>
      <c r="D13" s="13" t="str">
        <f t="shared" ref="D13:D17" si="0">IF($C13=CL,"X","")</f>
        <v>X</v>
      </c>
      <c r="E13" s="13">
        <f>IF(D13="X",100*0.15,"")</f>
        <v>15</v>
      </c>
      <c r="F13" s="13" t="str">
        <f t="shared" ref="F13:F17" si="1">IF($C13=L,"X","")</f>
        <v/>
      </c>
      <c r="G13" s="13" t="str">
        <f>IF(F13="X",60*0.15,"")</f>
        <v/>
      </c>
      <c r="H13" s="13" t="str">
        <f t="shared" ref="H13:H17" si="2">IF($C13=ML,"X","")</f>
        <v/>
      </c>
      <c r="I13" s="13" t="str">
        <f>IF(H13="X",30*0.15,"")</f>
        <v/>
      </c>
      <c r="J13" s="13" t="str">
        <f t="shared" ref="J13:J17" si="3">IF($C13=NL,"X","")</f>
        <v/>
      </c>
      <c r="K13" s="13" t="str">
        <f t="shared" ref="K13:K17" si="4">IF($J13="X",0,"")</f>
        <v/>
      </c>
    </row>
    <row r="14" spans="1:11" ht="26.4" customHeight="1" outlineLevel="1" x14ac:dyDescent="0.3">
      <c r="A14" s="41"/>
      <c r="B14" s="20" t="str">
        <f>RUBRICA!A5</f>
        <v xml:space="preserve">2. Presenta las evidencias del Proyecto APT, dando cuenta del cumplimiento de los objetivos y de acuerdo a los estándares de la disciplina. </v>
      </c>
      <c r="C14" s="18" t="s">
        <v>5</v>
      </c>
      <c r="D14" s="13" t="str">
        <f t="shared" si="0"/>
        <v>X</v>
      </c>
      <c r="E14" s="13">
        <f>IF(D14="X",100*0.25,"")</f>
        <v>25</v>
      </c>
      <c r="F14" s="13" t="str">
        <f t="shared" si="1"/>
        <v/>
      </c>
      <c r="G14" s="13" t="str">
        <f>IF(F14="X",60*0.25,"")</f>
        <v/>
      </c>
      <c r="H14" s="13" t="str">
        <f t="shared" si="2"/>
        <v/>
      </c>
      <c r="I14" s="13" t="str">
        <f>IF(H14="X",30*0.25,"")</f>
        <v/>
      </c>
      <c r="J14" s="13" t="str">
        <f t="shared" si="3"/>
        <v/>
      </c>
      <c r="K14" s="13" t="str">
        <f t="shared" si="4"/>
        <v/>
      </c>
    </row>
    <row r="15" spans="1:11" ht="24" outlineLevel="1" x14ac:dyDescent="0.3">
      <c r="A15" s="41"/>
      <c r="B15" s="20" t="str">
        <f>RUBRICA!A6</f>
        <v>3. Responde las preguntas realizadas por la comisión, cumpliendo con los estándares de calidad de la disciplina.</v>
      </c>
      <c r="C15" s="18" t="s">
        <v>5</v>
      </c>
      <c r="D15" s="13" t="str">
        <f t="shared" si="0"/>
        <v>X</v>
      </c>
      <c r="E15" s="13">
        <f>IF(D15="X",100*0.2,"")</f>
        <v>20</v>
      </c>
      <c r="F15" s="13" t="str">
        <f t="shared" si="1"/>
        <v/>
      </c>
      <c r="G15" s="13" t="str">
        <f>IF(F15="X",60*0.2,"")</f>
        <v/>
      </c>
      <c r="H15" s="13" t="str">
        <f t="shared" si="2"/>
        <v/>
      </c>
      <c r="I15" s="13" t="str">
        <f>IF(H15="X",30*0.2,"")</f>
        <v/>
      </c>
      <c r="J15" s="13" t="str">
        <f t="shared" si="3"/>
        <v/>
      </c>
      <c r="K15" s="13" t="str">
        <f t="shared" si="4"/>
        <v/>
      </c>
    </row>
    <row r="16" spans="1:11" ht="24" outlineLevel="1" x14ac:dyDescent="0.3">
      <c r="A16" s="41"/>
      <c r="B16" s="20" t="str">
        <f>RUBRICA!A7</f>
        <v>4. Expone el Proyecto APT, considerando el formato y el tiempo establecido para la presentación.</v>
      </c>
      <c r="C16" s="18" t="s">
        <v>5</v>
      </c>
      <c r="D16" s="13" t="str">
        <f t="shared" si="0"/>
        <v>X</v>
      </c>
      <c r="E16" s="13">
        <f>IF(D16="X",100*0.05,"")</f>
        <v>5</v>
      </c>
      <c r="F16" s="13" t="str">
        <f t="shared" si="1"/>
        <v/>
      </c>
      <c r="G16" s="13" t="str">
        <f>IF(F16="X",60*0.05,"")</f>
        <v/>
      </c>
      <c r="H16" s="13" t="str">
        <f t="shared" si="2"/>
        <v/>
      </c>
      <c r="I16" s="13" t="str">
        <f>IF(H16="X",30*0.05,"")</f>
        <v/>
      </c>
      <c r="J16" s="13" t="str">
        <f t="shared" si="3"/>
        <v/>
      </c>
      <c r="K16" s="13" t="str">
        <f t="shared" si="4"/>
        <v/>
      </c>
    </row>
    <row r="17" spans="1:11" ht="24" outlineLevel="1" x14ac:dyDescent="0.3">
      <c r="A17" s="41"/>
      <c r="B17" s="20" t="str">
        <f>RUBRICA!A8</f>
        <v>5. Expresa sus ideas con fluidez, claridad y precisión, utilizando lenguaje técnico propio de la disciplina.</v>
      </c>
      <c r="C17" s="18" t="s">
        <v>5</v>
      </c>
      <c r="D17" s="13" t="str">
        <f t="shared" si="0"/>
        <v>X</v>
      </c>
      <c r="E17" s="13">
        <f>IF(D17="X",100*0.05,"")</f>
        <v>5</v>
      </c>
      <c r="F17" s="13" t="str">
        <f t="shared" si="1"/>
        <v/>
      </c>
      <c r="G17" s="13" t="str">
        <f>IF(F17="X",60*0.05,"")</f>
        <v/>
      </c>
      <c r="H17" s="13" t="str">
        <f t="shared" si="2"/>
        <v/>
      </c>
      <c r="I17" s="13" t="str">
        <f>IF(H17="X",30*0.05,"")</f>
        <v/>
      </c>
      <c r="J17" s="13" t="str">
        <f t="shared" si="3"/>
        <v/>
      </c>
      <c r="K17" s="13" t="str">
        <f t="shared" si="4"/>
        <v/>
      </c>
    </row>
    <row r="18" spans="1:11" ht="24" outlineLevel="1" x14ac:dyDescent="0.3">
      <c r="A18" s="41"/>
      <c r="B18" s="20" t="str">
        <f>RUBRICA!A9</f>
        <v>6. Entrega la documentación y evidencias requerida por la asignatura de acuerdo a la estructura y nombres solicitados, guardando todas las evidencias de avances en Git</v>
      </c>
      <c r="C18" s="18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5">IF($J18="X",0,"")</f>
        <v/>
      </c>
    </row>
    <row r="19" spans="1:11" ht="24" outlineLevel="1" x14ac:dyDescent="0.3">
      <c r="A19" s="41"/>
      <c r="B19" s="20" t="str">
        <f>RUBRICA!A10</f>
        <v xml:space="preserve">7. Expone el tema utilizando un lenguaje técnico disciplinar al presentar la propuesta y responde evidenciando un manejo de la información. </v>
      </c>
      <c r="C19" s="18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5"/>
        <v/>
      </c>
    </row>
    <row r="20" spans="1:11" ht="15.75" customHeight="1" outlineLevel="1" x14ac:dyDescent="0.35">
      <c r="A20" s="40"/>
      <c r="B20" s="19" t="s">
        <v>4</v>
      </c>
      <c r="C20" s="23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35">
      <c r="A21" s="42"/>
      <c r="B21" s="22" t="s">
        <v>12</v>
      </c>
      <c r="C21" s="15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39" t="s">
        <v>60</v>
      </c>
      <c r="B24" s="12" t="str">
        <f>B4</f>
        <v>Victor Alejandro Gamboa Blanco</v>
      </c>
      <c r="C24" s="43" t="s">
        <v>9</v>
      </c>
      <c r="D24" s="44" t="s">
        <v>10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6" t="s">
        <v>11</v>
      </c>
      <c r="C25" s="42"/>
      <c r="D25" s="44" t="s">
        <v>5</v>
      </c>
      <c r="E25" s="46"/>
      <c r="F25" s="44" t="s">
        <v>6</v>
      </c>
      <c r="G25" s="46"/>
      <c r="H25" s="47" t="s">
        <v>17</v>
      </c>
      <c r="I25" s="46"/>
      <c r="J25" s="44" t="s">
        <v>7</v>
      </c>
      <c r="K25" s="46"/>
    </row>
    <row r="26" spans="1:11" ht="24" customHeight="1" x14ac:dyDescent="0.3">
      <c r="A26" s="41"/>
      <c r="B26" s="20" t="str">
        <f>RUBRICA!A4</f>
        <v xml:space="preserve">1. Presenta el proyecto considerando la relevancia, objetivos, metodología y desarrollo, de acuerdo a los estándares de calidad de la disciplina. </v>
      </c>
      <c r="C26" s="18" t="s">
        <v>5</v>
      </c>
      <c r="D26" s="13" t="str">
        <f>IF($C26=CL,"X","")</f>
        <v>X</v>
      </c>
      <c r="E26" s="13">
        <f>IF(D26="X",100*0.15,"")</f>
        <v>15</v>
      </c>
      <c r="F26" s="13" t="str">
        <f>IF($C26=L,"X","")</f>
        <v/>
      </c>
      <c r="G26" s="13" t="str">
        <f>IF(F26="X",60*0.15,"")</f>
        <v/>
      </c>
      <c r="H26" s="13" t="str">
        <f>IF($C26=ML,"X","")</f>
        <v/>
      </c>
      <c r="I26" s="13" t="str">
        <f>IF(H26="X",30*0.15,"")</f>
        <v/>
      </c>
      <c r="J26" s="13" t="str">
        <f>IF($C26=NL,"X","")</f>
        <v/>
      </c>
      <c r="K26" s="13" t="str">
        <f>IF($J26="X",0,"")</f>
        <v/>
      </c>
    </row>
    <row r="27" spans="1:11" ht="24" customHeight="1" x14ac:dyDescent="0.3">
      <c r="A27" s="41"/>
      <c r="B27" s="20" t="str">
        <f>RUBRICA!A5</f>
        <v xml:space="preserve">2. Presenta las evidencias del Proyecto APT, dando cuenta del cumplimiento de los objetivos y de acuerdo a los estándares de la disciplina. </v>
      </c>
      <c r="C27" s="18" t="s">
        <v>5</v>
      </c>
      <c r="D27" s="13" t="str">
        <f>IF($C27=CL,"X","")</f>
        <v>X</v>
      </c>
      <c r="E27" s="13">
        <f>IF(D27="X",100*0.25,"")</f>
        <v>25</v>
      </c>
      <c r="F27" s="13" t="str">
        <f>IF($C27=L,"X","")</f>
        <v/>
      </c>
      <c r="G27" s="13" t="str">
        <f>IF(F27="X",60*0.25,"")</f>
        <v/>
      </c>
      <c r="H27" s="13" t="str">
        <f>IF($C27=ML,"X","")</f>
        <v/>
      </c>
      <c r="I27" s="13" t="str">
        <f>IF(H27="X",30*0.25,"")</f>
        <v/>
      </c>
      <c r="J27" s="13" t="str">
        <f>IF($C27=NL,"X","")</f>
        <v/>
      </c>
      <c r="K27" s="13" t="str">
        <f>IF($J27="X",0,"")</f>
        <v/>
      </c>
    </row>
    <row r="28" spans="1:11" ht="24" customHeight="1" x14ac:dyDescent="0.3">
      <c r="A28" s="41"/>
      <c r="B28" s="20" t="str">
        <f>RUBRICA!A6</f>
        <v>3. Responde las preguntas realizadas por la comisión, cumpliendo con los estándares de calidad de la disciplina.</v>
      </c>
      <c r="C28" s="18" t="s">
        <v>5</v>
      </c>
      <c r="D28" s="13" t="str">
        <f>IF($C28=CL,"X","")</f>
        <v>X</v>
      </c>
      <c r="E28" s="13">
        <f>IF(D28="X",100*0.2,"")</f>
        <v>20</v>
      </c>
      <c r="F28" s="13" t="str">
        <f>IF($C28=L,"X","")</f>
        <v/>
      </c>
      <c r="G28" s="13" t="str">
        <f>IF(F28="X",60*0.2,"")</f>
        <v/>
      </c>
      <c r="H28" s="13" t="str">
        <f>IF($C28=ML,"X","")</f>
        <v/>
      </c>
      <c r="I28" s="13" t="str">
        <f>IF(H28="X",30*0.2,"")</f>
        <v/>
      </c>
      <c r="J28" s="13" t="str">
        <f>IF($C28=NL,"X","")</f>
        <v/>
      </c>
      <c r="K28" s="13" t="str">
        <f>IF($J28="X",0,"")</f>
        <v/>
      </c>
    </row>
    <row r="29" spans="1:11" ht="24" customHeight="1" x14ac:dyDescent="0.3">
      <c r="A29" s="41"/>
      <c r="B29" s="20" t="str">
        <f>RUBRICA!A7</f>
        <v>4. Expone el Proyecto APT, considerando el formato y el tiempo establecido para la presentación.</v>
      </c>
      <c r="C29" s="18" t="s">
        <v>5</v>
      </c>
      <c r="D29" s="13" t="str">
        <f>IF($C29=CL,"X","")</f>
        <v>X</v>
      </c>
      <c r="E29" s="13">
        <f>IF(D29="X",100*0.05,"")</f>
        <v>5</v>
      </c>
      <c r="F29" s="13" t="str">
        <f>IF($C29=L,"X","")</f>
        <v/>
      </c>
      <c r="G29" s="13" t="str">
        <f>IF(F29="X",60*0.05,"")</f>
        <v/>
      </c>
      <c r="H29" s="13" t="str">
        <f>IF($C29=ML,"X","")</f>
        <v/>
      </c>
      <c r="I29" s="13" t="str">
        <f>IF(H29="X",30*0.05,"")</f>
        <v/>
      </c>
      <c r="J29" s="13" t="str">
        <f>IF($C29=NL,"X","")</f>
        <v/>
      </c>
      <c r="K29" s="13" t="str">
        <f>IF($J29="X",0,"")</f>
        <v/>
      </c>
    </row>
    <row r="30" spans="1:11" ht="24" customHeight="1" x14ac:dyDescent="0.3">
      <c r="A30" s="41"/>
      <c r="B30" s="20" t="str">
        <f>RUBRICA!A8</f>
        <v>5. Expresa sus ideas con fluidez, claridad y precisión, utilizando lenguaje técnico propio de la disciplina.</v>
      </c>
      <c r="C30" s="18" t="s">
        <v>5</v>
      </c>
      <c r="D30" s="13" t="str">
        <f>IF($C30=CL,"X","")</f>
        <v>X</v>
      </c>
      <c r="E30" s="13">
        <f>IF(D30="X",100*0.05,"")</f>
        <v>5</v>
      </c>
      <c r="F30" s="13" t="str">
        <f>IF($C30=L,"X","")</f>
        <v/>
      </c>
      <c r="G30" s="13" t="str">
        <f>IF(F30="X",60*0.05,"")</f>
        <v/>
      </c>
      <c r="H30" s="13" t="str">
        <f>IF($C30=ML,"X","")</f>
        <v/>
      </c>
      <c r="I30" s="13" t="str">
        <f>IF(H30="X",30*0.05,"")</f>
        <v/>
      </c>
      <c r="J30" s="13" t="str">
        <f>IF($C30=NL,"X","")</f>
        <v/>
      </c>
      <c r="K30" s="13" t="str">
        <f>IF($J30="X",0,"")</f>
        <v/>
      </c>
    </row>
    <row r="31" spans="1:11" ht="24" customHeight="1" x14ac:dyDescent="0.3">
      <c r="A31" s="41"/>
      <c r="B31" s="20" t="str">
        <f>RUBRICA!A9</f>
        <v>6. Entrega la documentación y evidencias requerida por la asignatura de acuerdo a la estructura y nombres solicitados, guardando todas las evidencias de avances en Git</v>
      </c>
      <c r="C31" s="18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>IF($J31="X",0,"")</f>
        <v/>
      </c>
    </row>
    <row r="32" spans="1:11" ht="24" customHeight="1" x14ac:dyDescent="0.3">
      <c r="A32" s="41"/>
      <c r="B32" s="20" t="str">
        <f>RUBRICA!A10</f>
        <v xml:space="preserve">7. Expone el tema utilizando un lenguaje técnico disciplinar al presentar la propuesta y responde evidenciando un manejo de la información. </v>
      </c>
      <c r="C32" s="18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>IF($J32="X",0,"")</f>
        <v/>
      </c>
    </row>
    <row r="33" spans="1:11" ht="24" customHeight="1" x14ac:dyDescent="0.35">
      <c r="A33" s="40"/>
      <c r="B33" s="19" t="s">
        <v>4</v>
      </c>
      <c r="C33" s="23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35">
      <c r="A34" s="42"/>
      <c r="B34" s="22" t="s">
        <v>12</v>
      </c>
      <c r="C34" s="15">
        <f>VLOOKUP(C33,ESCALA_IEP!A41:B241,2,FALSE)</f>
        <v>7</v>
      </c>
    </row>
    <row r="35" spans="1:11" ht="16.2" customHeight="1" x14ac:dyDescent="0.3"/>
    <row r="36" spans="1:11" ht="13.8" customHeight="1" x14ac:dyDescent="0.3"/>
    <row r="37" spans="1:11" ht="24" customHeight="1" x14ac:dyDescent="0.3"/>
    <row r="38" spans="1:11" ht="24" customHeight="1" x14ac:dyDescent="0.3"/>
    <row r="39" spans="1:11" ht="24" customHeight="1" x14ac:dyDescent="0.3"/>
    <row r="40" spans="1:11" ht="24" customHeight="1" x14ac:dyDescent="0.3"/>
    <row r="41" spans="1:11" ht="24" customHeight="1" x14ac:dyDescent="0.3"/>
    <row r="42" spans="1:11" ht="24" customHeight="1" x14ac:dyDescent="0.3"/>
    <row r="43" spans="1:11" ht="24" customHeight="1" x14ac:dyDescent="0.3"/>
    <row r="44" spans="1:11" ht="24" customHeight="1" x14ac:dyDescent="0.3"/>
    <row r="45" spans="1:11" ht="24" customHeight="1" x14ac:dyDescent="0.3"/>
    <row r="46" spans="1:11" ht="24" customHeight="1" x14ac:dyDescent="0.3"/>
    <row r="47" spans="1:11" ht="24" customHeight="1" x14ac:dyDescent="0.3"/>
    <row r="48" spans="1:11" ht="15.75" customHeight="1" x14ac:dyDescent="0.3"/>
    <row r="49" ht="15.75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15.75" customHeight="1" x14ac:dyDescent="0.3"/>
    <row r="62" ht="15.75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15.75" customHeight="1" x14ac:dyDescent="0.3"/>
    <row r="75" ht="15.75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14">
    <mergeCell ref="A11:A21"/>
    <mergeCell ref="C11:C12"/>
    <mergeCell ref="D12:E12"/>
    <mergeCell ref="D11:K11"/>
    <mergeCell ref="F12:G12"/>
    <mergeCell ref="H12:I12"/>
    <mergeCell ref="J12:K12"/>
    <mergeCell ref="A24:A34"/>
    <mergeCell ref="C24:C25"/>
    <mergeCell ref="D24:K24"/>
    <mergeCell ref="D25:E25"/>
    <mergeCell ref="F25:G25"/>
    <mergeCell ref="H25:I25"/>
    <mergeCell ref="J25:K25"/>
  </mergeCells>
  <conditionalFormatting sqref="C4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RowHeight="14.4" x14ac:dyDescent="0.3"/>
  <cols>
    <col min="1" max="1" width="45.5546875" customWidth="1"/>
    <col min="2" max="2" width="31.21875" customWidth="1"/>
    <col min="3" max="3" width="24.109375" customWidth="1"/>
    <col min="4" max="4" width="29.88671875" customWidth="1"/>
    <col min="5" max="5" width="30.77734375" customWidth="1"/>
    <col min="6" max="6" width="15.33203125" customWidth="1"/>
  </cols>
  <sheetData>
    <row r="1" spans="1:6" ht="15" thickBot="1" x14ac:dyDescent="0.35">
      <c r="A1" s="49" t="s">
        <v>13</v>
      </c>
      <c r="B1" s="51" t="s">
        <v>14</v>
      </c>
      <c r="C1" s="52"/>
      <c r="D1" s="52"/>
      <c r="E1" s="53"/>
      <c r="F1" s="49" t="s">
        <v>15</v>
      </c>
    </row>
    <row r="2" spans="1:6" x14ac:dyDescent="0.3">
      <c r="A2" s="50"/>
      <c r="B2" s="54" t="s">
        <v>23</v>
      </c>
      <c r="C2" s="54" t="s">
        <v>24</v>
      </c>
      <c r="D2" s="26" t="s">
        <v>16</v>
      </c>
      <c r="E2" s="27" t="s">
        <v>7</v>
      </c>
      <c r="F2" s="50"/>
    </row>
    <row r="3" spans="1:6" x14ac:dyDescent="0.3">
      <c r="A3" s="50"/>
      <c r="B3" s="55"/>
      <c r="C3" s="55"/>
      <c r="D3" s="28">
        <v>0.3</v>
      </c>
      <c r="E3" s="28">
        <v>0</v>
      </c>
      <c r="F3" s="50"/>
    </row>
    <row r="4" spans="1:6" ht="110.4" x14ac:dyDescent="0.3">
      <c r="A4" s="24" t="s">
        <v>25</v>
      </c>
      <c r="B4" s="24" t="s">
        <v>49</v>
      </c>
      <c r="C4" s="24" t="s">
        <v>39</v>
      </c>
      <c r="D4" s="24" t="s">
        <v>40</v>
      </c>
      <c r="E4" s="24" t="s">
        <v>26</v>
      </c>
      <c r="F4" s="29">
        <v>15</v>
      </c>
    </row>
    <row r="5" spans="1:6" ht="136.80000000000001" customHeight="1" x14ac:dyDescent="0.3">
      <c r="A5" s="24" t="s">
        <v>27</v>
      </c>
      <c r="B5" s="24" t="s">
        <v>19</v>
      </c>
      <c r="C5" s="24" t="s">
        <v>20</v>
      </c>
      <c r="D5" s="24" t="s">
        <v>21</v>
      </c>
      <c r="E5" s="24" t="s">
        <v>22</v>
      </c>
      <c r="F5" s="29">
        <v>25</v>
      </c>
    </row>
    <row r="6" spans="1:6" ht="87" customHeight="1" x14ac:dyDescent="0.3">
      <c r="A6" s="24" t="s">
        <v>28</v>
      </c>
      <c r="B6" s="24" t="s">
        <v>29</v>
      </c>
      <c r="C6" s="24" t="s">
        <v>30</v>
      </c>
      <c r="D6" s="24" t="s">
        <v>31</v>
      </c>
      <c r="E6" s="24" t="s">
        <v>41</v>
      </c>
      <c r="F6" s="29">
        <v>20</v>
      </c>
    </row>
    <row r="7" spans="1:6" ht="96.6" x14ac:dyDescent="0.3">
      <c r="A7" s="24" t="s">
        <v>32</v>
      </c>
      <c r="B7" s="24" t="s">
        <v>33</v>
      </c>
      <c r="C7" s="24" t="s">
        <v>34</v>
      </c>
      <c r="D7" s="24" t="s">
        <v>35</v>
      </c>
      <c r="E7" s="24" t="s">
        <v>36</v>
      </c>
      <c r="F7" s="29">
        <v>5</v>
      </c>
    </row>
    <row r="8" spans="1:6" ht="96.6" x14ac:dyDescent="0.3">
      <c r="A8" s="24" t="s">
        <v>37</v>
      </c>
      <c r="B8" s="24" t="s">
        <v>42</v>
      </c>
      <c r="C8" s="24" t="s">
        <v>43</v>
      </c>
      <c r="D8" s="24" t="s">
        <v>44</v>
      </c>
      <c r="E8" s="24" t="s">
        <v>38</v>
      </c>
      <c r="F8" s="29">
        <v>5</v>
      </c>
    </row>
    <row r="9" spans="1:6" ht="96.6" x14ac:dyDescent="0.3">
      <c r="A9" s="24" t="s">
        <v>55</v>
      </c>
      <c r="B9" s="24" t="s">
        <v>50</v>
      </c>
      <c r="C9" s="24" t="s">
        <v>51</v>
      </c>
      <c r="D9" s="24" t="s">
        <v>52</v>
      </c>
      <c r="E9" s="24" t="s">
        <v>53</v>
      </c>
      <c r="F9" s="25">
        <v>20</v>
      </c>
    </row>
    <row r="10" spans="1:6" ht="126" customHeight="1" x14ac:dyDescent="0.3">
      <c r="A10" s="24" t="s">
        <v>54</v>
      </c>
      <c r="B10" s="24" t="s">
        <v>56</v>
      </c>
      <c r="C10" s="24" t="s">
        <v>57</v>
      </c>
      <c r="D10" s="24" t="s">
        <v>58</v>
      </c>
      <c r="E10" s="24" t="s">
        <v>59</v>
      </c>
      <c r="F10" s="25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4</v>
      </c>
      <c r="B1" t="s">
        <v>12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0</v>
      </c>
      <c r="B1" t="s">
        <v>1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4</v>
      </c>
      <c r="B1" t="s">
        <v>12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3</v>
      </c>
      <c r="B1" s="4" t="s">
        <v>4</v>
      </c>
      <c r="C1" s="5"/>
      <c r="D1" s="5"/>
      <c r="E1" s="6"/>
    </row>
    <row r="2" spans="1:5" ht="43.8" thickBot="1" x14ac:dyDescent="0.35">
      <c r="A2" s="57"/>
      <c r="B2" s="7" t="s">
        <v>5</v>
      </c>
      <c r="C2" s="8" t="s">
        <v>6</v>
      </c>
      <c r="D2" s="21" t="s">
        <v>18</v>
      </c>
      <c r="E2" s="9" t="s">
        <v>7</v>
      </c>
    </row>
    <row r="3" spans="1:5" ht="29.4" thickBot="1" x14ac:dyDescent="0.3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thickBot="1" x14ac:dyDescent="0.35">
      <c r="A4" s="10"/>
      <c r="B4" s="11"/>
      <c r="C4" s="11"/>
      <c r="D4" s="11"/>
      <c r="E4" s="11"/>
    </row>
    <row r="5" spans="1:5" thickBot="1" x14ac:dyDescent="0.35">
      <c r="A5" s="10"/>
      <c r="B5" s="11"/>
      <c r="C5" s="11"/>
      <c r="D5" s="11"/>
      <c r="E5" s="1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VICTOR ALEJANDRO GAMBOA BLANCO</cp:lastModifiedBy>
  <dcterms:created xsi:type="dcterms:W3CDTF">2023-08-07T04:08:01Z</dcterms:created>
  <dcterms:modified xsi:type="dcterms:W3CDTF">2025-11-26T00:44:22Z</dcterms:modified>
</cp:coreProperties>
</file>